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deloitte-my.sharepoint.com/personal/suradhanva_ext_deloitte_com/Documents/Desktop/DFF/Excel2Graph/samples/"/>
    </mc:Choice>
  </mc:AlternateContent>
  <xr:revisionPtr revIDLastSave="0" documentId="8_{0BC3D454-B158-42E0-B7A8-4CFFE34F97CE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Overview" sheetId="1" r:id="rId1"/>
    <sheet name="SalesData" sheetId="2" r:id="rId2"/>
    <sheet name="TextFunctions" sheetId="3" r:id="rId3"/>
    <sheet name="DateFunctions" sheetId="4" r:id="rId4"/>
    <sheet name="Lookup" sheetId="5" r:id="rId5"/>
    <sheet name="LogicalMath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6" l="1"/>
  <c r="D6" i="6"/>
  <c r="C6" i="6"/>
  <c r="E5" i="6"/>
  <c r="D5" i="6"/>
  <c r="C5" i="6"/>
  <c r="E4" i="6"/>
  <c r="D4" i="6"/>
  <c r="C4" i="6"/>
  <c r="E3" i="6"/>
  <c r="D3" i="6"/>
  <c r="C3" i="6"/>
  <c r="E2" i="6"/>
  <c r="D2" i="6"/>
  <c r="C2" i="6"/>
  <c r="E11" i="5"/>
  <c r="D11" i="5"/>
  <c r="C11" i="5"/>
  <c r="E10" i="5"/>
  <c r="D10" i="5"/>
  <c r="C10" i="5"/>
  <c r="E9" i="5"/>
  <c r="D9" i="5"/>
  <c r="C9" i="5"/>
  <c r="E8" i="5"/>
  <c r="D8" i="5"/>
  <c r="C8" i="5"/>
  <c r="E7" i="5"/>
  <c r="D7" i="5"/>
  <c r="C7" i="5"/>
  <c r="E5" i="4"/>
  <c r="C5" i="4"/>
  <c r="D5" i="4" s="1"/>
  <c r="E4" i="4"/>
  <c r="C4" i="4"/>
  <c r="D4" i="4" s="1"/>
  <c r="E3" i="4"/>
  <c r="C3" i="4"/>
  <c r="D3" i="4" s="1"/>
  <c r="E2" i="4"/>
  <c r="C2" i="4"/>
  <c r="D2" i="4" s="1"/>
  <c r="D5" i="3"/>
  <c r="C5" i="3"/>
  <c r="B5" i="3"/>
  <c r="D4" i="3"/>
  <c r="C4" i="3"/>
  <c r="B4" i="3"/>
  <c r="D3" i="3"/>
  <c r="C3" i="3"/>
  <c r="B3" i="3"/>
  <c r="D2" i="3"/>
  <c r="C2" i="3"/>
  <c r="B2" i="3"/>
  <c r="B12" i="2"/>
  <c r="B11" i="2"/>
  <c r="B10" i="2"/>
  <c r="B9" i="2"/>
</calcChain>
</file>

<file path=xl/sharedStrings.xml><?xml version="1.0" encoding="utf-8"?>
<sst xmlns="http://schemas.openxmlformats.org/spreadsheetml/2006/main" count="83" uniqueCount="64">
  <si>
    <t>Sheet</t>
  </si>
  <si>
    <t>What it shows</t>
  </si>
  <si>
    <t>SalesData</t>
  </si>
  <si>
    <t>SUM, SUMIFS, MAX, ROUND, AND/OR via helper, COUNTIFS</t>
  </si>
  <si>
    <t>TextFunctions</t>
  </si>
  <si>
    <t>SEARCH, TEXT, ISNUMBER</t>
  </si>
  <si>
    <t>DateFunctions</t>
  </si>
  <si>
    <t>EDATE, TEXT (date formatting), IF, ISBLANK</t>
  </si>
  <si>
    <t>Lookup</t>
  </si>
  <si>
    <t>VLOOKUP (with exact/approx), ISNUMBER+SEARCH for helper</t>
  </si>
  <si>
    <t>LogicalMath</t>
  </si>
  <si>
    <t>IF, AND, OR, ISBLANK, ISNUMBER</t>
  </si>
  <si>
    <t>Date</t>
  </si>
  <si>
    <t>Region</t>
  </si>
  <si>
    <t>Rep</t>
  </si>
  <si>
    <t>Product</t>
  </si>
  <si>
    <t>Units</t>
  </si>
  <si>
    <t>Unit Price</t>
  </si>
  <si>
    <t>Amount</t>
  </si>
  <si>
    <t>South</t>
  </si>
  <si>
    <t>Asha</t>
  </si>
  <si>
    <t>Gadget</t>
  </si>
  <si>
    <t>Vikram</t>
  </si>
  <si>
    <t>Widget</t>
  </si>
  <si>
    <t>West</t>
  </si>
  <si>
    <t>Meera</t>
  </si>
  <si>
    <t>Gizmo</t>
  </si>
  <si>
    <t>Summaries (using formulas)</t>
  </si>
  <si>
    <t>Total Amount (SUM)</t>
  </si>
  <si>
    <t>South Region Total (SUMIFS)</t>
  </si>
  <si>
    <t>Max Units Sold (MAX)</t>
  </si>
  <si>
    <t>Count South &amp; Gadget (COUNTIFS)</t>
  </si>
  <si>
    <t>Rounded Avg Price (ROUND)</t>
  </si>
  <si>
    <t>Complex (AND/OR demo): South AND Units&gt;=20 OR West AND Units&gt;=30</t>
  </si>
  <si>
    <t>Raw Text</t>
  </si>
  <si>
    <t>Position of "INV" (SEARCH)</t>
  </si>
  <si>
    <t>Contains Number? (ISNUMBER)</t>
  </si>
  <si>
    <t>Formatted Text (TEXT)</t>
  </si>
  <si>
    <t>Order #INV-1001 for gadget</t>
  </si>
  <si>
    <t>Payment received: INV-1002</t>
  </si>
  <si>
    <t>REF: 1003 (widget)</t>
  </si>
  <si>
    <t>No invoice mentioned</t>
  </si>
  <si>
    <t>Start Date</t>
  </si>
  <si>
    <t>Months to Add</t>
  </si>
  <si>
    <t>New Date (EDATE)</t>
  </si>
  <si>
    <t>Display (TEXT)</t>
  </si>
  <si>
    <t>If Blank? (IF + ISBLANK)</t>
  </si>
  <si>
    <t>List Price</t>
  </si>
  <si>
    <t>Doodad</t>
  </si>
  <si>
    <t>VLOOKUP (Exact)</t>
  </si>
  <si>
    <t>VLOOKUP (Approx, sorted by Product)</t>
  </si>
  <si>
    <t>Has "Gad"? (SEARCH+ISNUMBER)</t>
  </si>
  <si>
    <t>Lookup Key</t>
  </si>
  <si>
    <t>Note</t>
  </si>
  <si>
    <t>Exact match</t>
  </si>
  <si>
    <t>Unknown</t>
  </si>
  <si>
    <t>Not found</t>
  </si>
  <si>
    <t>Gad</t>
  </si>
  <si>
    <t>Approx prefix to demo SEARCH helper</t>
  </si>
  <si>
    <t>Score1</t>
  </si>
  <si>
    <t>Score2</t>
  </si>
  <si>
    <t>Passed Threshold? (&gt;=60 both)</t>
  </si>
  <si>
    <t>Either Missing?</t>
  </si>
  <si>
    <t>Rounded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</si>
</sst>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/>
  </sheetViews>
  <sheetFormatPr defaultRowHeight="14.5" x14ac:dyDescent="0.35"/>
  <sheetData>
    <row r="1" spans="1:7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35">
      <c r="A2" s="2">
        <v>46006</v>
      </c>
      <c r="B2" t="s">
        <v>19</v>
      </c>
      <c r="C2" t="s">
        <v>20</v>
      </c>
      <c r="D2" t="s">
        <v>21</v>
      </c>
      <c r="E2">
        <v>10</v>
      </c>
      <c r="F2">
        <v>199.99</v>
      </c>
      <c r="G2">
        <v>1999.9</v>
      </c>
    </row>
    <row r="3" spans="1:7" x14ac:dyDescent="0.35">
      <c r="A3" s="2">
        <v>46025</v>
      </c>
      <c r="B3" t="s">
        <v>19</v>
      </c>
      <c r="C3" t="s">
        <v>22</v>
      </c>
      <c r="D3" t="s">
        <v>23</v>
      </c>
      <c r="E3">
        <v>25</v>
      </c>
      <c r="F3">
        <v>149.5</v>
      </c>
      <c r="G3">
        <v>3737.5</v>
      </c>
    </row>
    <row r="4" spans="1:7" x14ac:dyDescent="0.35">
      <c r="A4" s="2">
        <v>46037</v>
      </c>
      <c r="B4" t="s">
        <v>24</v>
      </c>
      <c r="C4" t="s">
        <v>25</v>
      </c>
      <c r="D4" t="s">
        <v>21</v>
      </c>
      <c r="E4">
        <v>15</v>
      </c>
      <c r="F4">
        <v>199.99</v>
      </c>
      <c r="G4">
        <v>2999.85</v>
      </c>
    </row>
    <row r="5" spans="1:7" x14ac:dyDescent="0.35">
      <c r="A5" s="2">
        <v>46055</v>
      </c>
      <c r="B5" t="s">
        <v>19</v>
      </c>
      <c r="C5" t="s">
        <v>20</v>
      </c>
      <c r="D5" t="s">
        <v>26</v>
      </c>
      <c r="E5">
        <v>12</v>
      </c>
      <c r="F5">
        <v>249</v>
      </c>
      <c r="G5">
        <v>2988</v>
      </c>
    </row>
    <row r="6" spans="1:7" x14ac:dyDescent="0.35">
      <c r="A6" s="2">
        <v>46071</v>
      </c>
      <c r="B6" t="s">
        <v>24</v>
      </c>
      <c r="C6" t="s">
        <v>25</v>
      </c>
      <c r="D6" t="s">
        <v>23</v>
      </c>
      <c r="E6">
        <v>30</v>
      </c>
      <c r="F6">
        <v>149.5</v>
      </c>
      <c r="G6">
        <v>4485</v>
      </c>
    </row>
    <row r="7" spans="1:7" x14ac:dyDescent="0.35">
      <c r="A7" s="2">
        <v>46082</v>
      </c>
      <c r="B7" t="s">
        <v>19</v>
      </c>
      <c r="C7" t="s">
        <v>22</v>
      </c>
      <c r="D7" t="s">
        <v>21</v>
      </c>
      <c r="E7">
        <v>20</v>
      </c>
      <c r="F7">
        <v>199.99</v>
      </c>
      <c r="G7">
        <v>3999.8</v>
      </c>
    </row>
    <row r="8" spans="1:7" x14ac:dyDescent="0.35">
      <c r="A8" t="s">
        <v>27</v>
      </c>
    </row>
    <row r="9" spans="1:7" x14ac:dyDescent="0.35">
      <c r="A9" t="s">
        <v>28</v>
      </c>
      <c r="B9">
        <f>SUM(F2:F7)</f>
        <v>1147.97</v>
      </c>
    </row>
    <row r="10" spans="1:7" x14ac:dyDescent="0.35">
      <c r="A10" t="s">
        <v>29</v>
      </c>
      <c r="B10">
        <f>SUMIFS(F2:F7,B2:B7,"South")</f>
        <v>798.48</v>
      </c>
    </row>
    <row r="11" spans="1:7" x14ac:dyDescent="0.35">
      <c r="A11" t="s">
        <v>30</v>
      </c>
      <c r="B11">
        <f>MAX(E2:E7)</f>
        <v>30</v>
      </c>
    </row>
    <row r="12" spans="1:7" x14ac:dyDescent="0.35">
      <c r="A12" t="s">
        <v>31</v>
      </c>
      <c r="B12">
        <f>COUNTIFS(B2:B7,"South",D2:D7,"Gadget")</f>
        <v>2</v>
      </c>
    </row>
    <row r="13" spans="1:7" x14ac:dyDescent="0.35">
      <c r="A13" t="s">
        <v>32</v>
      </c>
    </row>
    <row r="14" spans="1:7" x14ac:dyDescent="0.35">
      <c r="A14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4.5" x14ac:dyDescent="0.35"/>
  <sheetData>
    <row r="1" spans="1:4" x14ac:dyDescent="0.35">
      <c r="A1" s="1" t="s">
        <v>34</v>
      </c>
      <c r="B1" t="s">
        <v>35</v>
      </c>
      <c r="C1" t="s">
        <v>36</v>
      </c>
      <c r="D1" t="s">
        <v>37</v>
      </c>
    </row>
    <row r="2" spans="1:4" x14ac:dyDescent="0.35">
      <c r="A2" t="s">
        <v>38</v>
      </c>
      <c r="B2">
        <f>SEARCH("INV",A2)</f>
        <v>8</v>
      </c>
      <c r="C2" t="b">
        <f>ISNUMBER(SEARCH("0",A2))</f>
        <v>1</v>
      </c>
      <c r="D2" t="str">
        <f>TEXT(LEN(A2),"0") &amp; " chars"</f>
        <v>26 chars</v>
      </c>
    </row>
    <row r="3" spans="1:4" x14ac:dyDescent="0.35">
      <c r="A3" t="s">
        <v>39</v>
      </c>
      <c r="B3">
        <f>SEARCH("INV",A3)</f>
        <v>19</v>
      </c>
      <c r="C3" t="b">
        <f>ISNUMBER(SEARCH("0",A3))</f>
        <v>1</v>
      </c>
      <c r="D3" t="str">
        <f>TEXT(LEN(A3),"0") &amp; " chars"</f>
        <v>26 chars</v>
      </c>
    </row>
    <row r="4" spans="1:4" x14ac:dyDescent="0.35">
      <c r="A4" t="s">
        <v>40</v>
      </c>
      <c r="B4" t="e">
        <f>SEARCH("INV",A4)</f>
        <v>#VALUE!</v>
      </c>
      <c r="C4" t="b">
        <f>ISNUMBER(SEARCH("0",A4))</f>
        <v>1</v>
      </c>
      <c r="D4" t="str">
        <f>TEXT(LEN(A4),"0") &amp; " chars"</f>
        <v>18 chars</v>
      </c>
    </row>
    <row r="5" spans="1:4" x14ac:dyDescent="0.35">
      <c r="A5" t="s">
        <v>41</v>
      </c>
      <c r="B5">
        <f>SEARCH("INV",A5)</f>
        <v>4</v>
      </c>
      <c r="C5" t="b">
        <f>ISNUMBER(SEARCH("0",A5))</f>
        <v>0</v>
      </c>
      <c r="D5" t="str">
        <f>TEXT(LEN(A5),"0") &amp; " chars"</f>
        <v>20 chars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tabSelected="1" workbookViewId="0">
      <selection activeCell="D14" sqref="D14"/>
    </sheetView>
  </sheetViews>
  <sheetFormatPr defaultRowHeight="14.5" x14ac:dyDescent="0.35"/>
  <sheetData>
    <row r="1" spans="1:5" x14ac:dyDescent="0.35">
      <c r="A1" s="1" t="s">
        <v>42</v>
      </c>
      <c r="B1" s="1" t="s">
        <v>43</v>
      </c>
      <c r="C1" t="s">
        <v>44</v>
      </c>
      <c r="D1" t="s">
        <v>45</v>
      </c>
      <c r="E1" t="s">
        <v>46</v>
      </c>
    </row>
    <row r="2" spans="1:5" x14ac:dyDescent="0.35">
      <c r="A2" s="2">
        <v>46053</v>
      </c>
      <c r="B2">
        <v>1</v>
      </c>
      <c r="C2">
        <f>EDATE(A2,B2)</f>
        <v>46081</v>
      </c>
      <c r="D2" t="str">
        <f>TEXT(C2,"dd-mmm-yyyy")</f>
        <v>28-Feb-2026</v>
      </c>
      <c r="E2" t="str">
        <f>IF(ISBLANK(A2),"Start date missing","OK")</f>
        <v>OK</v>
      </c>
    </row>
    <row r="3" spans="1:5" x14ac:dyDescent="0.35">
      <c r="A3" s="2">
        <v>46081</v>
      </c>
      <c r="B3">
        <v>-2</v>
      </c>
      <c r="C3">
        <f>EDATE(A3,B3)</f>
        <v>46019</v>
      </c>
      <c r="D3" t="str">
        <f>TEXT(C3,"dd-mmm-yyyy")</f>
        <v>28-Dec-2025</v>
      </c>
      <c r="E3" t="str">
        <f>IF(ISBLANK(A3),"Start date missing","OK")</f>
        <v>OK</v>
      </c>
    </row>
    <row r="4" spans="1:5" x14ac:dyDescent="0.35">
      <c r="A4" s="2">
        <v>46096</v>
      </c>
      <c r="B4">
        <v>6</v>
      </c>
      <c r="C4">
        <f>EDATE(A4,B4)</f>
        <v>46280</v>
      </c>
      <c r="D4" t="str">
        <f>TEXT(C4,"dd-mmm-yyyy")</f>
        <v>15-Sep-2026</v>
      </c>
      <c r="E4" t="str">
        <f>IF(ISBLANK(A4),"Start date missing","OK")</f>
        <v>OK</v>
      </c>
    </row>
    <row r="5" spans="1:5" x14ac:dyDescent="0.35">
      <c r="B5">
        <v>3</v>
      </c>
      <c r="C5">
        <f>EDATE(A5,B5)</f>
        <v>91</v>
      </c>
      <c r="D5" t="str">
        <f>TEXT(C5,"dd-mmm-yyyy")</f>
        <v>31-Mar-1900</v>
      </c>
      <c r="E5" t="str">
        <f>IF(ISBLANK(A5),"Start date missing","OK")</f>
        <v>Start date missing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/>
  </sheetViews>
  <sheetFormatPr defaultRowHeight="14.5" x14ac:dyDescent="0.35"/>
  <sheetData>
    <row r="1" spans="1:5" x14ac:dyDescent="0.35">
      <c r="A1" s="1" t="s">
        <v>15</v>
      </c>
      <c r="B1" s="1" t="s">
        <v>47</v>
      </c>
    </row>
    <row r="2" spans="1:5" x14ac:dyDescent="0.35">
      <c r="A2" t="s">
        <v>21</v>
      </c>
      <c r="B2">
        <v>199.99</v>
      </c>
    </row>
    <row r="3" spans="1:5" x14ac:dyDescent="0.35">
      <c r="A3" t="s">
        <v>23</v>
      </c>
      <c r="B3">
        <v>149.5</v>
      </c>
    </row>
    <row r="4" spans="1:5" x14ac:dyDescent="0.35">
      <c r="A4" t="s">
        <v>26</v>
      </c>
      <c r="B4">
        <v>249</v>
      </c>
    </row>
    <row r="5" spans="1:5" x14ac:dyDescent="0.35">
      <c r="A5" t="s">
        <v>48</v>
      </c>
      <c r="B5">
        <v>99</v>
      </c>
    </row>
    <row r="6" spans="1:5" x14ac:dyDescent="0.35">
      <c r="C6" t="s">
        <v>49</v>
      </c>
      <c r="D6" t="s">
        <v>50</v>
      </c>
      <c r="E6" t="s">
        <v>51</v>
      </c>
    </row>
    <row r="7" spans="1:5" x14ac:dyDescent="0.35">
      <c r="A7" s="1" t="s">
        <v>52</v>
      </c>
      <c r="B7" s="1" t="s">
        <v>53</v>
      </c>
      <c r="C7" t="str">
        <f>IFERROR(VLOOKUP(A7,$A$2:$B$5,2,FALSE),"Not found")</f>
        <v>Not found</v>
      </c>
      <c r="D7">
        <f>IFERROR(VLOOKUP(A7,$A$2:$B$5,2,TRUE),"Not found/unsorted")</f>
        <v>199.99</v>
      </c>
      <c r="E7" t="b">
        <f>ISNUMBER(SEARCH("Gad",A7))</f>
        <v>0</v>
      </c>
    </row>
    <row r="8" spans="1:5" x14ac:dyDescent="0.35">
      <c r="A8" t="s">
        <v>21</v>
      </c>
      <c r="B8" t="s">
        <v>54</v>
      </c>
      <c r="C8">
        <f>IFERROR(VLOOKUP(A8,$A$2:$B$5,2,FALSE),"Not found")</f>
        <v>199.99</v>
      </c>
      <c r="D8">
        <f>IFERROR(VLOOKUP(A8,$A$2:$B$5,2,TRUE),"Not found/unsorted")</f>
        <v>199.99</v>
      </c>
      <c r="E8" t="b">
        <f>ISNUMBER(SEARCH("Gad",A8))</f>
        <v>1</v>
      </c>
    </row>
    <row r="9" spans="1:5" x14ac:dyDescent="0.35">
      <c r="A9" t="s">
        <v>23</v>
      </c>
      <c r="B9" t="s">
        <v>54</v>
      </c>
      <c r="C9">
        <f>IFERROR(VLOOKUP(A9,$A$2:$B$5,2,FALSE),"Not found")</f>
        <v>149.5</v>
      </c>
      <c r="D9">
        <f>IFERROR(VLOOKUP(A9,$A$2:$B$5,2,TRUE),"Not found/unsorted")</f>
        <v>149.5</v>
      </c>
      <c r="E9" t="b">
        <f>ISNUMBER(SEARCH("Gad",A9))</f>
        <v>0</v>
      </c>
    </row>
    <row r="10" spans="1:5" x14ac:dyDescent="0.35">
      <c r="A10" t="s">
        <v>26</v>
      </c>
      <c r="B10" t="s">
        <v>54</v>
      </c>
      <c r="C10">
        <f>IFERROR(VLOOKUP(A10,$A$2:$B$5,2,FALSE),"Not found")</f>
        <v>249</v>
      </c>
      <c r="D10">
        <f>IFERROR(VLOOKUP(A10,$A$2:$B$5,2,TRUE),"Not found/unsorted")</f>
        <v>199.99</v>
      </c>
      <c r="E10" t="b">
        <f>ISNUMBER(SEARCH("Gad",A10))</f>
        <v>0</v>
      </c>
    </row>
    <row r="11" spans="1:5" x14ac:dyDescent="0.35">
      <c r="A11" t="s">
        <v>55</v>
      </c>
      <c r="B11" t="s">
        <v>56</v>
      </c>
      <c r="C11" t="str">
        <f>IFERROR(VLOOKUP(A11,$A$2:$B$5,2,FALSE),"Not found")</f>
        <v>Not found</v>
      </c>
      <c r="D11">
        <f>IFERROR(VLOOKUP(A11,$A$2:$B$5,2,TRUE),"Not found/unsorted")</f>
        <v>199.99</v>
      </c>
      <c r="E11" t="b">
        <f>ISNUMBER(SEARCH("Gad",A11))</f>
        <v>0</v>
      </c>
    </row>
    <row r="12" spans="1:5" x14ac:dyDescent="0.35">
      <c r="A12" t="s">
        <v>57</v>
      </c>
      <c r="B12" t="s">
        <v>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/>
  </sheetViews>
  <sheetFormatPr defaultRowHeight="14.5" x14ac:dyDescent="0.35"/>
  <sheetData>
    <row r="1" spans="1:5" x14ac:dyDescent="0.3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</row>
    <row r="2" spans="1:5" x14ac:dyDescent="0.35">
      <c r="A2">
        <v>78</v>
      </c>
      <c r="B2">
        <v>82</v>
      </c>
      <c r="C2" t="str">
        <f>IF(AND(A2&gt;=60,B2&gt;=60),"Yes","No")</f>
        <v>Yes</v>
      </c>
      <c r="D2" t="b">
        <f>OR(ISBLANK(A2),ISBLANK(B2))</f>
        <v>0</v>
      </c>
      <c r="E2">
        <f>ROUND(AVERAGE(A2:B2),0)</f>
        <v>80</v>
      </c>
    </row>
    <row r="3" spans="1:5" x14ac:dyDescent="0.35">
      <c r="A3">
        <v>92</v>
      </c>
      <c r="B3">
        <v>67</v>
      </c>
      <c r="C3" t="str">
        <f>IF(AND(A3&gt;=60,B3&gt;=60),"Yes","No")</f>
        <v>Yes</v>
      </c>
      <c r="D3" t="b">
        <f>OR(ISBLANK(A3),ISBLANK(B3))</f>
        <v>0</v>
      </c>
      <c r="E3">
        <f>ROUND(AVERAGE(A3:B3),0)</f>
        <v>80</v>
      </c>
    </row>
    <row r="4" spans="1:5" x14ac:dyDescent="0.35">
      <c r="A4">
        <v>55</v>
      </c>
      <c r="B4">
        <v>60</v>
      </c>
      <c r="C4" t="str">
        <f>IF(AND(A4&gt;=60,B4&gt;=60),"Yes","No")</f>
        <v>No</v>
      </c>
      <c r="D4" t="b">
        <f>OR(ISBLANK(A4),ISBLANK(B4))</f>
        <v>0</v>
      </c>
      <c r="E4">
        <f>ROUND(AVERAGE(A4:B4),0)</f>
        <v>58</v>
      </c>
    </row>
    <row r="5" spans="1:5" x14ac:dyDescent="0.35">
      <c r="A5">
        <v>88</v>
      </c>
      <c r="C5" t="str">
        <f>IF(AND(A5&gt;=60,B5&gt;=60),"Yes","No")</f>
        <v>No</v>
      </c>
      <c r="D5" t="b">
        <f>OR(ISBLANK(A5),ISBLANK(B5))</f>
        <v>1</v>
      </c>
      <c r="E5">
        <f>ROUND(AVERAGE(A5:B5),0)</f>
        <v>88</v>
      </c>
    </row>
    <row r="6" spans="1:5" x14ac:dyDescent="0.35">
      <c r="B6">
        <v>91</v>
      </c>
      <c r="C6" t="str">
        <f>IF(AND(A6&gt;=60,B6&gt;=60),"Yes","No")</f>
        <v>No</v>
      </c>
      <c r="D6" t="b">
        <f>OR(ISBLANK(A6),ISBLANK(B6))</f>
        <v>1</v>
      </c>
      <c r="E6">
        <f>ROUND(AVERAGE(A6:B6),0)</f>
        <v>91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SalesData</vt:lpstr>
      <vt:lpstr>TextFunctions</vt:lpstr>
      <vt:lpstr>DateFunctions</vt:lpstr>
      <vt:lpstr>Lookup</vt:lpstr>
      <vt:lpstr>LogicalMath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Dhanva, Suraj S G - Ext</cp:lastModifiedBy>
  <dcterms:created xsi:type="dcterms:W3CDTF">2026-03-23T08:14:37Z</dcterms:created>
  <dcterms:modified xsi:type="dcterms:W3CDTF">2026-03-23T08:17:06Z</dcterms:modified>
</cp:coreProperties>
</file>